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PycharmProjects\ajo\mlb\"/>
    </mc:Choice>
  </mc:AlternateContent>
  <xr:revisionPtr revIDLastSave="0" documentId="13_ncr:1_{DE614049-86BA-49C3-AAC8-DF2AE65ED114}" xr6:coauthVersionLast="47" xr6:coauthVersionMax="47" xr10:uidLastSave="{00000000-0000-0000-0000-000000000000}"/>
  <bookViews>
    <workbookView xWindow="28680" yWindow="-120" windowWidth="29040" windowHeight="15720" xr2:uid="{F06E2587-9A74-4010-AEF7-C17604D46CA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9" i="1" l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J30" i="1"/>
  <c r="J31" i="1" s="1"/>
  <c r="J32" i="1" s="1"/>
  <c r="J33" i="1" s="1"/>
  <c r="J34" i="1" s="1"/>
  <c r="J35" i="1" s="1"/>
  <c r="J36" i="1" s="1"/>
  <c r="J37" i="1" s="1"/>
  <c r="J38" i="1" s="1"/>
  <c r="J39" i="1" s="1"/>
  <c r="J12" i="1"/>
  <c r="J13" i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11" i="1"/>
  <c r="G3" i="1"/>
  <c r="L10" i="1"/>
  <c r="K10" i="1"/>
  <c r="L9" i="1"/>
  <c r="K9" i="1"/>
  <c r="K8" i="1"/>
  <c r="K4" i="1"/>
  <c r="L4" i="1"/>
  <c r="K5" i="1"/>
  <c r="L5" i="1"/>
  <c r="K6" i="1"/>
  <c r="L6" i="1"/>
  <c r="K7" i="1"/>
  <c r="L7" i="1"/>
  <c r="L8" i="1"/>
  <c r="L3" i="1"/>
  <c r="K3" i="1"/>
  <c r="F3" i="1"/>
  <c r="M33" i="1" l="1"/>
  <c r="M29" i="1"/>
  <c r="M26" i="1"/>
  <c r="M16" i="1"/>
  <c r="M23" i="1"/>
  <c r="M24" i="1"/>
  <c r="M14" i="1"/>
  <c r="M11" i="1"/>
  <c r="M19" i="1"/>
  <c r="M35" i="1"/>
  <c r="M28" i="1"/>
  <c r="M20" i="1"/>
  <c r="M13" i="1"/>
  <c r="M22" i="1"/>
  <c r="M30" i="1"/>
  <c r="M39" i="1"/>
  <c r="M17" i="1"/>
  <c r="M25" i="1"/>
  <c r="M32" i="1"/>
  <c r="M18" i="1"/>
  <c r="M27" i="1"/>
  <c r="M34" i="1"/>
  <c r="M12" i="1"/>
  <c r="M21" i="1"/>
  <c r="M36" i="1"/>
  <c r="M15" i="1"/>
  <c r="M37" i="1"/>
  <c r="M31" i="1"/>
  <c r="M38" i="1"/>
  <c r="M10" i="1"/>
  <c r="M9" i="1"/>
  <c r="M7" i="1"/>
  <c r="M5" i="1"/>
  <c r="M4" i="1"/>
  <c r="M3" i="1"/>
  <c r="M8" i="1"/>
  <c r="M6" i="1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Chang</author>
  </authors>
  <commentList>
    <comment ref="D65" authorId="0" shapeId="0" xr:uid="{F9C7D3F8-65FA-4D79-A17C-2153E162447B}">
      <text>
        <r>
          <rPr>
            <b/>
            <sz val="9"/>
            <color indexed="81"/>
            <rFont val="Tahoma"/>
            <charset val="1"/>
          </rPr>
          <t>Andrew Chang:</t>
        </r>
        <r>
          <rPr>
            <sz val="9"/>
            <color indexed="81"/>
            <rFont val="Tahoma"/>
            <charset val="1"/>
          </rPr>
          <t xml:space="preserve">
Won $1000 on the 24/03/2026 at the star</t>
        </r>
      </text>
    </comment>
  </commentList>
</comments>
</file>

<file path=xl/sharedStrings.xml><?xml version="1.0" encoding="utf-8"?>
<sst xmlns="http://schemas.openxmlformats.org/spreadsheetml/2006/main" count="10" uniqueCount="9">
  <si>
    <t>bet</t>
  </si>
  <si>
    <t>win</t>
  </si>
  <si>
    <t>gambled</t>
  </si>
  <si>
    <t>outcome</t>
  </si>
  <si>
    <t xml:space="preserve">net </t>
  </si>
  <si>
    <t>date</t>
  </si>
  <si>
    <t>bet sum</t>
  </si>
  <si>
    <t>net</t>
  </si>
  <si>
    <t>The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</si>
</sst>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2"/>
          <c:order val="2"/>
          <c:tx>
            <c:strRef>
              <c:f>Sheet1!$M$2</c:f>
              <c:strCache>
                <c:ptCount val="1"/>
                <c:pt idx="0">
                  <c:v>net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Sheet1!$J$3:$J$38</c:f>
              <c:numCache>
                <c:formatCode>m/d/yyyy</c:formatCode>
                <c:ptCount val="36"/>
                <c:pt idx="0">
                  <c:v>46107</c:v>
                </c:pt>
                <c:pt idx="1">
                  <c:v>46108</c:v>
                </c:pt>
                <c:pt idx="2">
                  <c:v>46109</c:v>
                </c:pt>
                <c:pt idx="3">
                  <c:v>46110</c:v>
                </c:pt>
                <c:pt idx="4">
                  <c:v>46111</c:v>
                </c:pt>
                <c:pt idx="5">
                  <c:v>46112</c:v>
                </c:pt>
                <c:pt idx="6">
                  <c:v>46113</c:v>
                </c:pt>
                <c:pt idx="7">
                  <c:v>46114</c:v>
                </c:pt>
                <c:pt idx="8">
                  <c:v>46115</c:v>
                </c:pt>
                <c:pt idx="9">
                  <c:v>46116</c:v>
                </c:pt>
                <c:pt idx="10">
                  <c:v>46117</c:v>
                </c:pt>
                <c:pt idx="11">
                  <c:v>46118</c:v>
                </c:pt>
                <c:pt idx="12">
                  <c:v>46119</c:v>
                </c:pt>
                <c:pt idx="13">
                  <c:v>46120</c:v>
                </c:pt>
                <c:pt idx="14">
                  <c:v>46121</c:v>
                </c:pt>
                <c:pt idx="15">
                  <c:v>46122</c:v>
                </c:pt>
                <c:pt idx="16">
                  <c:v>46123</c:v>
                </c:pt>
                <c:pt idx="17">
                  <c:v>46124</c:v>
                </c:pt>
                <c:pt idx="18">
                  <c:v>46125</c:v>
                </c:pt>
                <c:pt idx="19">
                  <c:v>46126</c:v>
                </c:pt>
                <c:pt idx="20">
                  <c:v>46127</c:v>
                </c:pt>
                <c:pt idx="21">
                  <c:v>46128</c:v>
                </c:pt>
                <c:pt idx="22">
                  <c:v>46129</c:v>
                </c:pt>
                <c:pt idx="23">
                  <c:v>46130</c:v>
                </c:pt>
                <c:pt idx="24">
                  <c:v>46131</c:v>
                </c:pt>
                <c:pt idx="25">
                  <c:v>46132</c:v>
                </c:pt>
                <c:pt idx="26">
                  <c:v>46133</c:v>
                </c:pt>
                <c:pt idx="27">
                  <c:v>46134</c:v>
                </c:pt>
                <c:pt idx="28">
                  <c:v>46135</c:v>
                </c:pt>
                <c:pt idx="29">
                  <c:v>46136</c:v>
                </c:pt>
                <c:pt idx="30">
                  <c:v>46137</c:v>
                </c:pt>
                <c:pt idx="31">
                  <c:v>46138</c:v>
                </c:pt>
                <c:pt idx="32">
                  <c:v>46139</c:v>
                </c:pt>
                <c:pt idx="33">
                  <c:v>46140</c:v>
                </c:pt>
                <c:pt idx="34">
                  <c:v>46141</c:v>
                </c:pt>
                <c:pt idx="35">
                  <c:v>46142</c:v>
                </c:pt>
              </c:numCache>
            </c:numRef>
          </c:cat>
          <c:val>
            <c:numRef>
              <c:f>Sheet1!$M$3:$M$38</c:f>
              <c:numCache>
                <c:formatCode>General</c:formatCode>
                <c:ptCount val="36"/>
                <c:pt idx="0">
                  <c:v>57.44</c:v>
                </c:pt>
                <c:pt idx="1">
                  <c:v>122.5</c:v>
                </c:pt>
                <c:pt idx="2">
                  <c:v>171.6</c:v>
                </c:pt>
                <c:pt idx="3">
                  <c:v>302.29999999999995</c:v>
                </c:pt>
                <c:pt idx="4">
                  <c:v>181.99</c:v>
                </c:pt>
                <c:pt idx="5">
                  <c:v>-145</c:v>
                </c:pt>
                <c:pt idx="6">
                  <c:v>-21</c:v>
                </c:pt>
                <c:pt idx="7">
                  <c:v>-350</c:v>
                </c:pt>
                <c:pt idx="8">
                  <c:v>-148</c:v>
                </c:pt>
                <c:pt idx="9">
                  <c:v>-130</c:v>
                </c:pt>
                <c:pt idx="10">
                  <c:v>-373</c:v>
                </c:pt>
                <c:pt idx="11">
                  <c:v>-50</c:v>
                </c:pt>
                <c:pt idx="12">
                  <c:v>-50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B8-4D63-A390-421F43B10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764560"/>
        <c:axId val="2052758320"/>
      </c:areaChart>
      <c:barChart>
        <c:barDir val="col"/>
        <c:grouping val="clustered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bet sum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Sheet1!$J$3:$J$38</c:f>
              <c:numCache>
                <c:formatCode>m/d/yyyy</c:formatCode>
                <c:ptCount val="36"/>
                <c:pt idx="0">
                  <c:v>46107</c:v>
                </c:pt>
                <c:pt idx="1">
                  <c:v>46108</c:v>
                </c:pt>
                <c:pt idx="2">
                  <c:v>46109</c:v>
                </c:pt>
                <c:pt idx="3">
                  <c:v>46110</c:v>
                </c:pt>
                <c:pt idx="4">
                  <c:v>46111</c:v>
                </c:pt>
                <c:pt idx="5">
                  <c:v>46112</c:v>
                </c:pt>
                <c:pt idx="6">
                  <c:v>46113</c:v>
                </c:pt>
                <c:pt idx="7">
                  <c:v>46114</c:v>
                </c:pt>
                <c:pt idx="8">
                  <c:v>46115</c:v>
                </c:pt>
                <c:pt idx="9">
                  <c:v>46116</c:v>
                </c:pt>
                <c:pt idx="10">
                  <c:v>46117</c:v>
                </c:pt>
                <c:pt idx="11">
                  <c:v>46118</c:v>
                </c:pt>
                <c:pt idx="12">
                  <c:v>46119</c:v>
                </c:pt>
                <c:pt idx="13">
                  <c:v>46120</c:v>
                </c:pt>
                <c:pt idx="14">
                  <c:v>46121</c:v>
                </c:pt>
                <c:pt idx="15">
                  <c:v>46122</c:v>
                </c:pt>
                <c:pt idx="16">
                  <c:v>46123</c:v>
                </c:pt>
                <c:pt idx="17">
                  <c:v>46124</c:v>
                </c:pt>
                <c:pt idx="18">
                  <c:v>46125</c:v>
                </c:pt>
                <c:pt idx="19">
                  <c:v>46126</c:v>
                </c:pt>
                <c:pt idx="20">
                  <c:v>46127</c:v>
                </c:pt>
                <c:pt idx="21">
                  <c:v>46128</c:v>
                </c:pt>
                <c:pt idx="22">
                  <c:v>46129</c:v>
                </c:pt>
                <c:pt idx="23">
                  <c:v>46130</c:v>
                </c:pt>
                <c:pt idx="24">
                  <c:v>46131</c:v>
                </c:pt>
                <c:pt idx="25">
                  <c:v>46132</c:v>
                </c:pt>
                <c:pt idx="26">
                  <c:v>46133</c:v>
                </c:pt>
                <c:pt idx="27">
                  <c:v>46134</c:v>
                </c:pt>
                <c:pt idx="28">
                  <c:v>46135</c:v>
                </c:pt>
                <c:pt idx="29">
                  <c:v>46136</c:v>
                </c:pt>
                <c:pt idx="30">
                  <c:v>46137</c:v>
                </c:pt>
                <c:pt idx="31">
                  <c:v>46138</c:v>
                </c:pt>
                <c:pt idx="32">
                  <c:v>46139</c:v>
                </c:pt>
                <c:pt idx="33">
                  <c:v>46140</c:v>
                </c:pt>
                <c:pt idx="34">
                  <c:v>46141</c:v>
                </c:pt>
                <c:pt idx="35">
                  <c:v>46142</c:v>
                </c:pt>
              </c:numCache>
            </c:numRef>
          </c:cat>
          <c:val>
            <c:numRef>
              <c:f>Sheet1!$K$3:$K$38</c:f>
              <c:numCache>
                <c:formatCode>General</c:formatCode>
                <c:ptCount val="36"/>
                <c:pt idx="0">
                  <c:v>182</c:v>
                </c:pt>
                <c:pt idx="1">
                  <c:v>229</c:v>
                </c:pt>
                <c:pt idx="2">
                  <c:v>149.53</c:v>
                </c:pt>
                <c:pt idx="3">
                  <c:v>573.92000000000007</c:v>
                </c:pt>
                <c:pt idx="4">
                  <c:v>662.1</c:v>
                </c:pt>
                <c:pt idx="5">
                  <c:v>1149</c:v>
                </c:pt>
                <c:pt idx="6">
                  <c:v>911.53</c:v>
                </c:pt>
                <c:pt idx="7">
                  <c:v>2331.5</c:v>
                </c:pt>
                <c:pt idx="8">
                  <c:v>431.5</c:v>
                </c:pt>
                <c:pt idx="9">
                  <c:v>493</c:v>
                </c:pt>
                <c:pt idx="10">
                  <c:v>373</c:v>
                </c:pt>
                <c:pt idx="11">
                  <c:v>50</c:v>
                </c:pt>
                <c:pt idx="12">
                  <c:v>50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8-4D63-A390-421F43B10DCC}"/>
            </c:ext>
          </c:extLst>
        </c:ser>
        <c:ser>
          <c:idx val="1"/>
          <c:order val="1"/>
          <c:tx>
            <c:strRef>
              <c:f>Sheet1!$L$2</c:f>
              <c:strCache>
                <c:ptCount val="1"/>
                <c:pt idx="0">
                  <c:v>outcome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Sheet1!$J$3:$J$38</c:f>
              <c:numCache>
                <c:formatCode>m/d/yyyy</c:formatCode>
                <c:ptCount val="36"/>
                <c:pt idx="0">
                  <c:v>46107</c:v>
                </c:pt>
                <c:pt idx="1">
                  <c:v>46108</c:v>
                </c:pt>
                <c:pt idx="2">
                  <c:v>46109</c:v>
                </c:pt>
                <c:pt idx="3">
                  <c:v>46110</c:v>
                </c:pt>
                <c:pt idx="4">
                  <c:v>46111</c:v>
                </c:pt>
                <c:pt idx="5">
                  <c:v>46112</c:v>
                </c:pt>
                <c:pt idx="6">
                  <c:v>46113</c:v>
                </c:pt>
                <c:pt idx="7">
                  <c:v>46114</c:v>
                </c:pt>
                <c:pt idx="8">
                  <c:v>46115</c:v>
                </c:pt>
                <c:pt idx="9">
                  <c:v>46116</c:v>
                </c:pt>
                <c:pt idx="10">
                  <c:v>46117</c:v>
                </c:pt>
                <c:pt idx="11">
                  <c:v>46118</c:v>
                </c:pt>
                <c:pt idx="12">
                  <c:v>46119</c:v>
                </c:pt>
                <c:pt idx="13">
                  <c:v>46120</c:v>
                </c:pt>
                <c:pt idx="14">
                  <c:v>46121</c:v>
                </c:pt>
                <c:pt idx="15">
                  <c:v>46122</c:v>
                </c:pt>
                <c:pt idx="16">
                  <c:v>46123</c:v>
                </c:pt>
                <c:pt idx="17">
                  <c:v>46124</c:v>
                </c:pt>
                <c:pt idx="18">
                  <c:v>46125</c:v>
                </c:pt>
                <c:pt idx="19">
                  <c:v>46126</c:v>
                </c:pt>
                <c:pt idx="20">
                  <c:v>46127</c:v>
                </c:pt>
                <c:pt idx="21">
                  <c:v>46128</c:v>
                </c:pt>
                <c:pt idx="22">
                  <c:v>46129</c:v>
                </c:pt>
                <c:pt idx="23">
                  <c:v>46130</c:v>
                </c:pt>
                <c:pt idx="24">
                  <c:v>46131</c:v>
                </c:pt>
                <c:pt idx="25">
                  <c:v>46132</c:v>
                </c:pt>
                <c:pt idx="26">
                  <c:v>46133</c:v>
                </c:pt>
                <c:pt idx="27">
                  <c:v>46134</c:v>
                </c:pt>
                <c:pt idx="28">
                  <c:v>46135</c:v>
                </c:pt>
                <c:pt idx="29">
                  <c:v>46136</c:v>
                </c:pt>
                <c:pt idx="30">
                  <c:v>46137</c:v>
                </c:pt>
                <c:pt idx="31">
                  <c:v>46138</c:v>
                </c:pt>
                <c:pt idx="32">
                  <c:v>46139</c:v>
                </c:pt>
                <c:pt idx="33">
                  <c:v>46140</c:v>
                </c:pt>
                <c:pt idx="34">
                  <c:v>46141</c:v>
                </c:pt>
                <c:pt idx="35">
                  <c:v>46142</c:v>
                </c:pt>
              </c:numCache>
            </c:numRef>
          </c:cat>
          <c:val>
            <c:numRef>
              <c:f>Sheet1!$L$3:$L$38</c:f>
              <c:numCache>
                <c:formatCode>General</c:formatCode>
                <c:ptCount val="36"/>
                <c:pt idx="0">
                  <c:v>239.44</c:v>
                </c:pt>
                <c:pt idx="1">
                  <c:v>351.5</c:v>
                </c:pt>
                <c:pt idx="2">
                  <c:v>321.13</c:v>
                </c:pt>
                <c:pt idx="3">
                  <c:v>876.22</c:v>
                </c:pt>
                <c:pt idx="4">
                  <c:v>844.09</c:v>
                </c:pt>
                <c:pt idx="5">
                  <c:v>1004</c:v>
                </c:pt>
                <c:pt idx="6">
                  <c:v>890.53</c:v>
                </c:pt>
                <c:pt idx="7">
                  <c:v>1981.5</c:v>
                </c:pt>
                <c:pt idx="8">
                  <c:v>283.5</c:v>
                </c:pt>
                <c:pt idx="9">
                  <c:v>363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8-4D63-A390-421F43B10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2764560"/>
        <c:axId val="2052758320"/>
      </c:barChart>
      <c:dateAx>
        <c:axId val="20527645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758320"/>
        <c:crosses val="autoZero"/>
        <c:auto val="1"/>
        <c:lblOffset val="100"/>
        <c:baseTimeUnit val="days"/>
      </c:dateAx>
      <c:valAx>
        <c:axId val="2052758320"/>
        <c:scaling>
          <c:orientation val="minMax"/>
          <c:max val="1500"/>
          <c:min val="-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764560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390526</xdr:colOff>
      <xdr:row>1</xdr:row>
      <xdr:rowOff>23813</xdr:rowOff>
    </xdr:from>
    <xdr:to>
      <xdr:col>24</xdr:col>
      <xdr:colOff>47626</xdr:colOff>
      <xdr:row>18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81DD01-2546-DAC2-CDD5-802AFA9AC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DA3F-5F53-4185-913C-D95CCA552531}">
  <dimension ref="B2:M77"/>
  <sheetViews>
    <sheetView tabSelected="1" workbookViewId="0">
      <selection activeCell="F23" sqref="F23"/>
    </sheetView>
  </sheetViews>
  <sheetFormatPr defaultRowHeight="15" x14ac:dyDescent="0.25"/>
  <cols>
    <col min="2" max="2" width="10.7109375" style="3" bestFit="1" customWidth="1"/>
    <col min="3" max="4" width="9.140625" style="3"/>
    <col min="10" max="10" width="10.7109375" bestFit="1" customWidth="1"/>
  </cols>
  <sheetData>
    <row r="2" spans="2:13" x14ac:dyDescent="0.25">
      <c r="C2" s="1" t="s">
        <v>0</v>
      </c>
      <c r="D2" s="1" t="s">
        <v>1</v>
      </c>
      <c r="F2" s="1" t="s">
        <v>2</v>
      </c>
      <c r="G2" s="1" t="s">
        <v>3</v>
      </c>
      <c r="H2" s="1" t="s">
        <v>4</v>
      </c>
      <c r="J2" s="2" t="s">
        <v>5</v>
      </c>
      <c r="K2" s="1" t="s">
        <v>6</v>
      </c>
      <c r="L2" s="1" t="s">
        <v>3</v>
      </c>
      <c r="M2" s="1" t="s">
        <v>7</v>
      </c>
    </row>
    <row r="3" spans="2:13" x14ac:dyDescent="0.25">
      <c r="B3" s="4">
        <v>46107</v>
      </c>
      <c r="C3" s="1">
        <v>50</v>
      </c>
      <c r="D3" s="1">
        <v>82</v>
      </c>
      <c r="F3" s="1">
        <f>SUM(C3:C9999)</f>
        <v>7586.08</v>
      </c>
      <c r="G3" s="1">
        <f>SUM(D3:D9999)</f>
        <v>7154.91</v>
      </c>
      <c r="H3" s="1">
        <f>G3-F3</f>
        <v>-431.17000000000007</v>
      </c>
      <c r="J3" s="4">
        <v>46107</v>
      </c>
      <c r="K3" s="1">
        <f t="shared" ref="K3:K10" si="0">SUMIF(B:B,J3,C:C)</f>
        <v>182</v>
      </c>
      <c r="L3" s="1">
        <f t="shared" ref="L3:L10" si="1">SUMIF(B:B,J3,D:D)</f>
        <v>239.44</v>
      </c>
      <c r="M3" s="1">
        <f>L3-K3</f>
        <v>57.44</v>
      </c>
    </row>
    <row r="4" spans="2:13" x14ac:dyDescent="0.25">
      <c r="B4" s="4">
        <v>46107</v>
      </c>
      <c r="C4" s="1">
        <v>50</v>
      </c>
      <c r="D4" s="1"/>
      <c r="J4" s="4">
        <v>46108</v>
      </c>
      <c r="K4" s="1">
        <f t="shared" si="0"/>
        <v>229</v>
      </c>
      <c r="L4" s="1">
        <f t="shared" si="1"/>
        <v>351.5</v>
      </c>
      <c r="M4" s="1">
        <f t="shared" ref="M4:M8" si="2">L4-K4</f>
        <v>122.5</v>
      </c>
    </row>
    <row r="5" spans="2:13" x14ac:dyDescent="0.25">
      <c r="B5" s="4">
        <v>46107</v>
      </c>
      <c r="C5" s="1">
        <v>82</v>
      </c>
      <c r="D5" s="1">
        <v>157.44</v>
      </c>
      <c r="J5" s="4">
        <v>46109</v>
      </c>
      <c r="K5" s="1">
        <f t="shared" si="0"/>
        <v>149.53</v>
      </c>
      <c r="L5" s="1">
        <f t="shared" si="1"/>
        <v>321.13</v>
      </c>
      <c r="M5" s="1">
        <f t="shared" si="2"/>
        <v>171.6</v>
      </c>
    </row>
    <row r="6" spans="2:13" x14ac:dyDescent="0.25">
      <c r="B6" s="4">
        <v>46108</v>
      </c>
      <c r="C6" s="1">
        <v>50</v>
      </c>
      <c r="D6" s="1">
        <v>144</v>
      </c>
      <c r="J6" s="4">
        <v>46110</v>
      </c>
      <c r="K6" s="1">
        <f t="shared" si="0"/>
        <v>573.92000000000007</v>
      </c>
      <c r="L6" s="1">
        <f t="shared" si="1"/>
        <v>876.22</v>
      </c>
      <c r="M6" s="1">
        <f t="shared" si="2"/>
        <v>302.29999999999995</v>
      </c>
    </row>
    <row r="7" spans="2:13" x14ac:dyDescent="0.25">
      <c r="B7" s="4">
        <v>46108</v>
      </c>
      <c r="C7" s="1">
        <v>20</v>
      </c>
      <c r="D7" s="1">
        <v>35</v>
      </c>
      <c r="J7" s="4">
        <v>46111</v>
      </c>
      <c r="K7" s="1">
        <f t="shared" si="0"/>
        <v>662.1</v>
      </c>
      <c r="L7" s="1">
        <f t="shared" si="1"/>
        <v>844.09</v>
      </c>
      <c r="M7" s="1">
        <f t="shared" si="2"/>
        <v>181.99</v>
      </c>
    </row>
    <row r="8" spans="2:13" x14ac:dyDescent="0.25">
      <c r="B8" s="4">
        <v>46108</v>
      </c>
      <c r="C8" s="1">
        <v>24</v>
      </c>
      <c r="D8" s="1"/>
      <c r="J8" s="4">
        <v>46112</v>
      </c>
      <c r="K8" s="1">
        <f t="shared" si="0"/>
        <v>1149</v>
      </c>
      <c r="L8" s="1">
        <f t="shared" si="1"/>
        <v>1004</v>
      </c>
      <c r="M8" s="1">
        <f t="shared" si="2"/>
        <v>-145</v>
      </c>
    </row>
    <row r="9" spans="2:13" x14ac:dyDescent="0.25">
      <c r="B9" s="4">
        <v>46108</v>
      </c>
      <c r="C9" s="1">
        <v>35</v>
      </c>
      <c r="D9" s="1"/>
      <c r="J9" s="4">
        <v>46113</v>
      </c>
      <c r="K9" s="1">
        <f t="shared" si="0"/>
        <v>911.53</v>
      </c>
      <c r="L9" s="1">
        <f t="shared" si="1"/>
        <v>890.53</v>
      </c>
      <c r="M9" s="1">
        <f t="shared" ref="M9" si="3">L9-K9</f>
        <v>-21</v>
      </c>
    </row>
    <row r="10" spans="2:13" x14ac:dyDescent="0.25">
      <c r="B10" s="4">
        <v>46108</v>
      </c>
      <c r="C10" s="1">
        <v>50</v>
      </c>
      <c r="D10" s="1">
        <v>172.5</v>
      </c>
      <c r="J10" s="4">
        <v>46114</v>
      </c>
      <c r="K10" s="1">
        <f t="shared" si="0"/>
        <v>2331.5</v>
      </c>
      <c r="L10" s="1">
        <f t="shared" si="1"/>
        <v>1981.5</v>
      </c>
      <c r="M10" s="1">
        <f t="shared" ref="M10" si="4">L10-K10</f>
        <v>-350</v>
      </c>
    </row>
    <row r="11" spans="2:13" x14ac:dyDescent="0.25">
      <c r="B11" s="4">
        <v>46108</v>
      </c>
      <c r="C11" s="1">
        <v>50</v>
      </c>
      <c r="D11" s="1"/>
      <c r="J11" s="4">
        <f>J10+1</f>
        <v>46115</v>
      </c>
      <c r="K11" s="1">
        <f t="shared" ref="K11:K39" si="5">SUMIF(B:B,J11,C:C)</f>
        <v>431.5</v>
      </c>
      <c r="L11" s="1">
        <f t="shared" ref="L11:L39" si="6">SUMIF(B:B,J11,D:D)</f>
        <v>283.5</v>
      </c>
      <c r="M11" s="1">
        <f t="shared" ref="M11:M39" si="7">L11-K11</f>
        <v>-148</v>
      </c>
    </row>
    <row r="12" spans="2:13" x14ac:dyDescent="0.25">
      <c r="B12" s="4">
        <v>46109</v>
      </c>
      <c r="C12" s="1">
        <v>25</v>
      </c>
      <c r="D12" s="1">
        <v>95.45</v>
      </c>
      <c r="J12" s="4">
        <f t="shared" ref="J12:J39" si="8">J11+1</f>
        <v>46116</v>
      </c>
      <c r="K12" s="1">
        <f t="shared" si="5"/>
        <v>493</v>
      </c>
      <c r="L12" s="1">
        <f t="shared" si="6"/>
        <v>363</v>
      </c>
      <c r="M12" s="1">
        <f t="shared" si="7"/>
        <v>-130</v>
      </c>
    </row>
    <row r="13" spans="2:13" x14ac:dyDescent="0.25">
      <c r="B13" s="4">
        <v>46109</v>
      </c>
      <c r="C13" s="1">
        <v>45.45</v>
      </c>
      <c r="D13" s="1">
        <v>79.08</v>
      </c>
      <c r="J13" s="4">
        <f t="shared" si="8"/>
        <v>46117</v>
      </c>
      <c r="K13" s="1">
        <f t="shared" si="5"/>
        <v>373</v>
      </c>
      <c r="L13" s="1">
        <f t="shared" si="6"/>
        <v>0</v>
      </c>
      <c r="M13" s="1">
        <f t="shared" si="7"/>
        <v>-373</v>
      </c>
    </row>
    <row r="14" spans="2:13" x14ac:dyDescent="0.25">
      <c r="B14" s="4">
        <v>46109</v>
      </c>
      <c r="C14" s="1">
        <v>29.08</v>
      </c>
      <c r="D14" s="1">
        <v>50.6</v>
      </c>
      <c r="J14" s="4">
        <f t="shared" si="8"/>
        <v>46118</v>
      </c>
      <c r="K14" s="1">
        <f t="shared" si="5"/>
        <v>50</v>
      </c>
      <c r="L14" s="1">
        <f t="shared" si="6"/>
        <v>0</v>
      </c>
      <c r="M14" s="1">
        <f t="shared" si="7"/>
        <v>-50</v>
      </c>
    </row>
    <row r="15" spans="2:13" x14ac:dyDescent="0.25">
      <c r="B15" s="4">
        <v>46109</v>
      </c>
      <c r="C15" s="1">
        <v>50</v>
      </c>
      <c r="D15" s="1">
        <v>96</v>
      </c>
      <c r="J15" s="4">
        <f t="shared" si="8"/>
        <v>46119</v>
      </c>
      <c r="K15" s="1">
        <f t="shared" si="5"/>
        <v>50</v>
      </c>
      <c r="L15" s="1">
        <f t="shared" si="6"/>
        <v>0</v>
      </c>
      <c r="M15" s="1">
        <f t="shared" si="7"/>
        <v>-50</v>
      </c>
    </row>
    <row r="16" spans="2:13" x14ac:dyDescent="0.25">
      <c r="B16" s="4">
        <v>46110</v>
      </c>
      <c r="C16" s="1">
        <v>100</v>
      </c>
      <c r="D16" s="1">
        <v>198</v>
      </c>
      <c r="J16" s="4">
        <f t="shared" si="8"/>
        <v>46120</v>
      </c>
      <c r="K16" s="1">
        <f t="shared" si="5"/>
        <v>0</v>
      </c>
      <c r="L16" s="1">
        <f t="shared" si="6"/>
        <v>0</v>
      </c>
      <c r="M16" s="1">
        <f t="shared" si="7"/>
        <v>0</v>
      </c>
    </row>
    <row r="17" spans="2:13" x14ac:dyDescent="0.25">
      <c r="B17" s="4">
        <v>46110</v>
      </c>
      <c r="C17" s="1">
        <v>25</v>
      </c>
      <c r="D17" s="1"/>
      <c r="J17" s="4">
        <f t="shared" si="8"/>
        <v>46121</v>
      </c>
      <c r="K17" s="1">
        <f t="shared" si="5"/>
        <v>0</v>
      </c>
      <c r="L17" s="1">
        <f t="shared" si="6"/>
        <v>0</v>
      </c>
      <c r="M17" s="1">
        <f t="shared" si="7"/>
        <v>0</v>
      </c>
    </row>
    <row r="18" spans="2:13" x14ac:dyDescent="0.25">
      <c r="B18" s="4">
        <v>46110</v>
      </c>
      <c r="C18" s="1">
        <v>50</v>
      </c>
      <c r="D18" s="1"/>
      <c r="J18" s="4">
        <f t="shared" si="8"/>
        <v>46122</v>
      </c>
      <c r="K18" s="1">
        <f t="shared" si="5"/>
        <v>0</v>
      </c>
      <c r="L18" s="1">
        <f t="shared" si="6"/>
        <v>0</v>
      </c>
      <c r="M18" s="1">
        <f t="shared" si="7"/>
        <v>0</v>
      </c>
    </row>
    <row r="19" spans="2:13" x14ac:dyDescent="0.25">
      <c r="B19" s="4">
        <v>46110</v>
      </c>
      <c r="C19" s="1">
        <v>48</v>
      </c>
      <c r="D19" s="1">
        <v>90.72</v>
      </c>
      <c r="J19" s="4">
        <f t="shared" si="8"/>
        <v>46123</v>
      </c>
      <c r="K19" s="1">
        <f t="shared" si="5"/>
        <v>0</v>
      </c>
      <c r="L19" s="1">
        <f t="shared" si="6"/>
        <v>0</v>
      </c>
      <c r="M19" s="1">
        <f t="shared" si="7"/>
        <v>0</v>
      </c>
    </row>
    <row r="20" spans="2:13" x14ac:dyDescent="0.25">
      <c r="B20" s="4">
        <v>46110</v>
      </c>
      <c r="C20" s="1">
        <v>50.72</v>
      </c>
      <c r="D20" s="1"/>
      <c r="J20" s="4">
        <f t="shared" si="8"/>
        <v>46124</v>
      </c>
      <c r="K20" s="1">
        <f t="shared" si="5"/>
        <v>0</v>
      </c>
      <c r="L20" s="1">
        <f t="shared" si="6"/>
        <v>0</v>
      </c>
      <c r="M20" s="1">
        <f t="shared" si="7"/>
        <v>0</v>
      </c>
    </row>
    <row r="21" spans="2:13" x14ac:dyDescent="0.25">
      <c r="B21" s="4">
        <v>46110</v>
      </c>
      <c r="C21" s="1">
        <v>100</v>
      </c>
      <c r="D21" s="1">
        <v>189</v>
      </c>
      <c r="J21" s="4">
        <f t="shared" si="8"/>
        <v>46125</v>
      </c>
      <c r="K21" s="1">
        <f t="shared" si="5"/>
        <v>0</v>
      </c>
      <c r="L21" s="1">
        <f t="shared" si="6"/>
        <v>0</v>
      </c>
      <c r="M21" s="1">
        <f t="shared" si="7"/>
        <v>0</v>
      </c>
    </row>
    <row r="22" spans="2:13" x14ac:dyDescent="0.25">
      <c r="B22" s="4">
        <v>46110</v>
      </c>
      <c r="C22" s="1">
        <v>40</v>
      </c>
      <c r="D22" s="1">
        <v>69.2</v>
      </c>
      <c r="J22" s="4">
        <f t="shared" si="8"/>
        <v>46126</v>
      </c>
      <c r="K22" s="1">
        <f t="shared" si="5"/>
        <v>0</v>
      </c>
      <c r="L22" s="1">
        <f t="shared" si="6"/>
        <v>0</v>
      </c>
      <c r="M22" s="1">
        <f t="shared" si="7"/>
        <v>0</v>
      </c>
    </row>
    <row r="23" spans="2:13" x14ac:dyDescent="0.25">
      <c r="B23" s="4">
        <v>46110</v>
      </c>
      <c r="C23" s="1">
        <v>47.2</v>
      </c>
      <c r="D23" s="1">
        <v>79.3</v>
      </c>
      <c r="J23" s="4">
        <f t="shared" si="8"/>
        <v>46127</v>
      </c>
      <c r="K23" s="1">
        <f t="shared" si="5"/>
        <v>0</v>
      </c>
      <c r="L23" s="1">
        <f t="shared" si="6"/>
        <v>0</v>
      </c>
      <c r="M23" s="1">
        <f t="shared" si="7"/>
        <v>0</v>
      </c>
    </row>
    <row r="24" spans="2:13" x14ac:dyDescent="0.25">
      <c r="B24" s="4">
        <v>46110</v>
      </c>
      <c r="C24" s="1">
        <v>89</v>
      </c>
      <c r="D24" s="1">
        <v>178</v>
      </c>
      <c r="J24" s="4">
        <f t="shared" si="8"/>
        <v>46128</v>
      </c>
      <c r="K24" s="1">
        <f t="shared" si="5"/>
        <v>0</v>
      </c>
      <c r="L24" s="1">
        <f t="shared" si="6"/>
        <v>0</v>
      </c>
      <c r="M24" s="1">
        <f t="shared" si="7"/>
        <v>0</v>
      </c>
    </row>
    <row r="25" spans="2:13" x14ac:dyDescent="0.25">
      <c r="B25" s="4">
        <v>46110</v>
      </c>
      <c r="C25" s="1">
        <v>24</v>
      </c>
      <c r="D25" s="1">
        <v>72</v>
      </c>
      <c r="J25" s="4">
        <f t="shared" si="8"/>
        <v>46129</v>
      </c>
      <c r="K25" s="1">
        <f t="shared" si="5"/>
        <v>0</v>
      </c>
      <c r="L25" s="1">
        <f t="shared" si="6"/>
        <v>0</v>
      </c>
      <c r="M25" s="1">
        <f t="shared" si="7"/>
        <v>0</v>
      </c>
    </row>
    <row r="26" spans="2:13" x14ac:dyDescent="0.25">
      <c r="B26" s="4">
        <v>46111</v>
      </c>
      <c r="C26" s="1">
        <v>50</v>
      </c>
      <c r="D26" s="1"/>
      <c r="J26" s="4">
        <f t="shared" si="8"/>
        <v>46130</v>
      </c>
      <c r="K26" s="1">
        <f t="shared" si="5"/>
        <v>0</v>
      </c>
      <c r="L26" s="1">
        <f t="shared" si="6"/>
        <v>0</v>
      </c>
      <c r="M26" s="1">
        <f t="shared" si="7"/>
        <v>0</v>
      </c>
    </row>
    <row r="27" spans="2:13" x14ac:dyDescent="0.25">
      <c r="B27" s="4">
        <v>46111</v>
      </c>
      <c r="C27" s="1">
        <v>50</v>
      </c>
      <c r="D27" s="1"/>
      <c r="J27" s="4">
        <f t="shared" si="8"/>
        <v>46131</v>
      </c>
      <c r="K27" s="1">
        <f t="shared" si="5"/>
        <v>0</v>
      </c>
      <c r="L27" s="1">
        <f t="shared" si="6"/>
        <v>0</v>
      </c>
      <c r="M27" s="1">
        <f t="shared" si="7"/>
        <v>0</v>
      </c>
    </row>
    <row r="28" spans="2:13" x14ac:dyDescent="0.25">
      <c r="B28" s="4">
        <v>46111</v>
      </c>
      <c r="C28" s="1">
        <v>50</v>
      </c>
      <c r="D28" s="1">
        <v>102.5</v>
      </c>
      <c r="J28" s="4">
        <f t="shared" si="8"/>
        <v>46132</v>
      </c>
      <c r="K28" s="1">
        <f t="shared" si="5"/>
        <v>0</v>
      </c>
      <c r="L28" s="1">
        <f t="shared" si="6"/>
        <v>0</v>
      </c>
      <c r="M28" s="1">
        <f t="shared" si="7"/>
        <v>0</v>
      </c>
    </row>
    <row r="29" spans="2:13" x14ac:dyDescent="0.25">
      <c r="B29" s="4">
        <v>46111</v>
      </c>
      <c r="C29" s="1">
        <v>50</v>
      </c>
      <c r="D29" s="1">
        <v>85.5</v>
      </c>
      <c r="J29" s="4">
        <f t="shared" si="8"/>
        <v>46133</v>
      </c>
      <c r="K29" s="1">
        <f t="shared" si="5"/>
        <v>0</v>
      </c>
      <c r="L29" s="1">
        <f t="shared" si="6"/>
        <v>0</v>
      </c>
      <c r="M29" s="1">
        <f t="shared" si="7"/>
        <v>0</v>
      </c>
    </row>
    <row r="30" spans="2:13" x14ac:dyDescent="0.25">
      <c r="B30" s="4">
        <v>46111</v>
      </c>
      <c r="C30" s="1">
        <v>50</v>
      </c>
      <c r="D30" s="1">
        <v>97</v>
      </c>
      <c r="J30" s="4">
        <f>J29+1</f>
        <v>46134</v>
      </c>
      <c r="K30" s="1">
        <f t="shared" si="5"/>
        <v>0</v>
      </c>
      <c r="L30" s="1">
        <f t="shared" si="6"/>
        <v>0</v>
      </c>
      <c r="M30" s="1">
        <f t="shared" si="7"/>
        <v>0</v>
      </c>
    </row>
    <row r="31" spans="2:13" x14ac:dyDescent="0.25">
      <c r="B31" s="4">
        <v>46111</v>
      </c>
      <c r="C31" s="1">
        <v>50</v>
      </c>
      <c r="D31" s="1">
        <v>87</v>
      </c>
      <c r="J31" s="4">
        <f t="shared" si="8"/>
        <v>46135</v>
      </c>
      <c r="K31" s="1">
        <f t="shared" si="5"/>
        <v>0</v>
      </c>
      <c r="L31" s="1">
        <f t="shared" si="6"/>
        <v>0</v>
      </c>
      <c r="M31" s="1">
        <f t="shared" si="7"/>
        <v>0</v>
      </c>
    </row>
    <row r="32" spans="2:13" x14ac:dyDescent="0.25">
      <c r="B32" s="4">
        <v>46111</v>
      </c>
      <c r="C32" s="1">
        <v>50</v>
      </c>
      <c r="D32" s="1"/>
      <c r="J32" s="4">
        <f t="shared" si="8"/>
        <v>46136</v>
      </c>
      <c r="K32" s="1">
        <f t="shared" si="5"/>
        <v>0</v>
      </c>
      <c r="L32" s="1">
        <f t="shared" si="6"/>
        <v>0</v>
      </c>
      <c r="M32" s="1">
        <f t="shared" si="7"/>
        <v>0</v>
      </c>
    </row>
    <row r="33" spans="2:13" x14ac:dyDescent="0.25">
      <c r="B33" s="4">
        <v>46111</v>
      </c>
      <c r="C33" s="1">
        <v>50</v>
      </c>
      <c r="D33" s="1"/>
      <c r="J33" s="4">
        <f t="shared" si="8"/>
        <v>46137</v>
      </c>
      <c r="K33" s="1">
        <f t="shared" si="5"/>
        <v>0</v>
      </c>
      <c r="L33" s="1">
        <f t="shared" si="6"/>
        <v>0</v>
      </c>
      <c r="M33" s="1">
        <f t="shared" si="7"/>
        <v>0</v>
      </c>
    </row>
    <row r="34" spans="2:13" x14ac:dyDescent="0.25">
      <c r="B34" s="4">
        <v>46111</v>
      </c>
      <c r="C34" s="1">
        <v>176.6</v>
      </c>
      <c r="D34" s="1">
        <v>310.64</v>
      </c>
      <c r="J34" s="4">
        <f t="shared" si="8"/>
        <v>46138</v>
      </c>
      <c r="K34" s="1">
        <f t="shared" si="5"/>
        <v>0</v>
      </c>
      <c r="L34" s="1">
        <f t="shared" si="6"/>
        <v>0</v>
      </c>
      <c r="M34" s="1">
        <f t="shared" si="7"/>
        <v>0</v>
      </c>
    </row>
    <row r="35" spans="2:13" x14ac:dyDescent="0.25">
      <c r="B35" s="4">
        <v>46111</v>
      </c>
      <c r="C35" s="1">
        <v>35.5</v>
      </c>
      <c r="D35" s="1">
        <v>67.45</v>
      </c>
      <c r="J35" s="4">
        <f t="shared" si="8"/>
        <v>46139</v>
      </c>
      <c r="K35" s="1">
        <f t="shared" si="5"/>
        <v>0</v>
      </c>
      <c r="L35" s="1">
        <f t="shared" si="6"/>
        <v>0</v>
      </c>
      <c r="M35" s="1">
        <f t="shared" si="7"/>
        <v>0</v>
      </c>
    </row>
    <row r="36" spans="2:13" x14ac:dyDescent="0.25">
      <c r="B36" s="4">
        <v>46111</v>
      </c>
      <c r="C36" s="1">
        <v>50</v>
      </c>
      <c r="D36" s="1">
        <v>94</v>
      </c>
      <c r="J36" s="4">
        <f t="shared" si="8"/>
        <v>46140</v>
      </c>
      <c r="K36" s="1">
        <f t="shared" si="5"/>
        <v>0</v>
      </c>
      <c r="L36" s="1">
        <f t="shared" si="6"/>
        <v>0</v>
      </c>
      <c r="M36" s="1">
        <f t="shared" si="7"/>
        <v>0</v>
      </c>
    </row>
    <row r="37" spans="2:13" x14ac:dyDescent="0.25">
      <c r="B37" s="4">
        <v>46112</v>
      </c>
      <c r="C37" s="1">
        <v>100</v>
      </c>
      <c r="D37" s="1">
        <v>199</v>
      </c>
      <c r="J37" s="4">
        <f t="shared" si="8"/>
        <v>46141</v>
      </c>
      <c r="K37" s="1">
        <f t="shared" si="5"/>
        <v>0</v>
      </c>
      <c r="L37" s="1">
        <f t="shared" si="6"/>
        <v>0</v>
      </c>
      <c r="M37" s="1">
        <f t="shared" si="7"/>
        <v>0</v>
      </c>
    </row>
    <row r="38" spans="2:13" x14ac:dyDescent="0.25">
      <c r="B38" s="4">
        <v>46112</v>
      </c>
      <c r="C38" s="1">
        <v>50</v>
      </c>
      <c r="D38" s="1"/>
      <c r="J38" s="4">
        <f t="shared" si="8"/>
        <v>46142</v>
      </c>
      <c r="K38" s="1">
        <f t="shared" si="5"/>
        <v>0</v>
      </c>
      <c r="L38" s="1">
        <f t="shared" si="6"/>
        <v>0</v>
      </c>
      <c r="M38" s="1">
        <f t="shared" si="7"/>
        <v>0</v>
      </c>
    </row>
    <row r="39" spans="2:13" x14ac:dyDescent="0.25">
      <c r="B39" s="4">
        <v>46112</v>
      </c>
      <c r="C39" s="1">
        <v>100</v>
      </c>
      <c r="D39" s="1"/>
      <c r="J39" s="4">
        <f t="shared" si="8"/>
        <v>46143</v>
      </c>
      <c r="K39" s="1">
        <f t="shared" si="5"/>
        <v>0</v>
      </c>
      <c r="L39" s="1">
        <f t="shared" si="6"/>
        <v>0</v>
      </c>
      <c r="M39" s="1">
        <f t="shared" si="7"/>
        <v>0</v>
      </c>
    </row>
    <row r="40" spans="2:13" x14ac:dyDescent="0.25">
      <c r="B40" s="4">
        <v>46112</v>
      </c>
      <c r="C40" s="1">
        <v>100</v>
      </c>
      <c r="D40" s="1"/>
    </row>
    <row r="41" spans="2:13" x14ac:dyDescent="0.25">
      <c r="B41" s="4">
        <v>46112</v>
      </c>
      <c r="C41" s="1">
        <v>100</v>
      </c>
      <c r="D41" s="1">
        <v>182</v>
      </c>
    </row>
    <row r="42" spans="2:13" x14ac:dyDescent="0.25">
      <c r="B42" s="4">
        <v>46112</v>
      </c>
      <c r="C42" s="1">
        <v>99</v>
      </c>
      <c r="D42" s="1"/>
    </row>
    <row r="43" spans="2:13" x14ac:dyDescent="0.25">
      <c r="B43" s="4">
        <v>46112</v>
      </c>
      <c r="C43" s="1">
        <v>100</v>
      </c>
      <c r="D43" s="1">
        <v>191</v>
      </c>
    </row>
    <row r="44" spans="2:13" x14ac:dyDescent="0.25">
      <c r="B44" s="4">
        <v>46112</v>
      </c>
      <c r="C44" s="1">
        <v>100</v>
      </c>
      <c r="D44" s="1"/>
    </row>
    <row r="45" spans="2:13" x14ac:dyDescent="0.25">
      <c r="B45" s="4">
        <v>46112</v>
      </c>
      <c r="C45" s="1">
        <v>100</v>
      </c>
      <c r="D45" s="1"/>
    </row>
    <row r="46" spans="2:13" x14ac:dyDescent="0.25">
      <c r="B46" s="4">
        <v>46112</v>
      </c>
      <c r="C46" s="1">
        <v>100</v>
      </c>
      <c r="D46" s="1"/>
    </row>
    <row r="47" spans="2:13" x14ac:dyDescent="0.25">
      <c r="B47" s="4">
        <v>46112</v>
      </c>
      <c r="C47" s="1">
        <v>100</v>
      </c>
      <c r="D47" s="1">
        <v>172</v>
      </c>
    </row>
    <row r="48" spans="2:13" x14ac:dyDescent="0.25">
      <c r="B48" s="4">
        <v>46112</v>
      </c>
      <c r="C48" s="1">
        <v>100</v>
      </c>
      <c r="D48" s="1">
        <v>260</v>
      </c>
    </row>
    <row r="49" spans="2:4" x14ac:dyDescent="0.25">
      <c r="B49" s="4">
        <v>46113</v>
      </c>
      <c r="C49" s="1">
        <v>100</v>
      </c>
      <c r="D49" s="1">
        <v>195</v>
      </c>
    </row>
    <row r="50" spans="2:4" x14ac:dyDescent="0.25">
      <c r="B50" s="4">
        <v>46113</v>
      </c>
      <c r="C50" s="1">
        <v>100</v>
      </c>
      <c r="D50" s="1">
        <v>182</v>
      </c>
    </row>
    <row r="51" spans="2:4" x14ac:dyDescent="0.25">
      <c r="B51" s="4">
        <v>46113</v>
      </c>
      <c r="C51" s="1">
        <v>100</v>
      </c>
      <c r="D51" s="1"/>
    </row>
    <row r="52" spans="2:4" x14ac:dyDescent="0.25">
      <c r="B52" s="4">
        <v>46113</v>
      </c>
      <c r="C52" s="1">
        <v>100</v>
      </c>
      <c r="D52" s="1"/>
    </row>
    <row r="53" spans="2:4" x14ac:dyDescent="0.25">
      <c r="B53" s="4">
        <v>46113</v>
      </c>
      <c r="C53" s="1">
        <v>177</v>
      </c>
      <c r="D53" s="1">
        <v>334.53</v>
      </c>
    </row>
    <row r="54" spans="2:4" x14ac:dyDescent="0.25">
      <c r="B54" s="4">
        <v>46113</v>
      </c>
      <c r="C54" s="1">
        <v>134.53</v>
      </c>
      <c r="D54" s="1"/>
    </row>
    <row r="55" spans="2:4" x14ac:dyDescent="0.25">
      <c r="B55" s="4">
        <v>46113</v>
      </c>
      <c r="C55" s="1">
        <v>100</v>
      </c>
      <c r="D55" s="1"/>
    </row>
    <row r="56" spans="2:4" x14ac:dyDescent="0.25">
      <c r="B56" s="4">
        <v>46113</v>
      </c>
      <c r="C56" s="1">
        <v>100</v>
      </c>
      <c r="D56" s="1">
        <v>179</v>
      </c>
    </row>
    <row r="57" spans="2:4" x14ac:dyDescent="0.25">
      <c r="B57" s="4">
        <v>46114</v>
      </c>
      <c r="C57" s="1">
        <v>100</v>
      </c>
      <c r="D57" s="1">
        <v>181</v>
      </c>
    </row>
    <row r="58" spans="2:4" x14ac:dyDescent="0.25">
      <c r="B58" s="4">
        <v>46114</v>
      </c>
      <c r="C58" s="1">
        <v>100</v>
      </c>
      <c r="D58" s="1">
        <v>179</v>
      </c>
    </row>
    <row r="59" spans="2:4" x14ac:dyDescent="0.25">
      <c r="B59" s="4">
        <v>46114</v>
      </c>
      <c r="C59" s="1">
        <v>100</v>
      </c>
      <c r="D59" s="1"/>
    </row>
    <row r="60" spans="2:4" x14ac:dyDescent="0.25">
      <c r="B60" s="4">
        <v>46114</v>
      </c>
      <c r="C60" s="1">
        <v>60</v>
      </c>
      <c r="D60" s="1"/>
    </row>
    <row r="61" spans="2:4" x14ac:dyDescent="0.25">
      <c r="B61" s="4">
        <v>46114</v>
      </c>
      <c r="C61" s="1">
        <v>100</v>
      </c>
      <c r="D61" s="1"/>
    </row>
    <row r="62" spans="2:4" x14ac:dyDescent="0.25">
      <c r="B62" s="4">
        <v>46114</v>
      </c>
      <c r="C62" s="1">
        <v>200</v>
      </c>
      <c r="D62" s="1">
        <v>356</v>
      </c>
    </row>
    <row r="63" spans="2:4" x14ac:dyDescent="0.25">
      <c r="B63" s="4">
        <v>46114</v>
      </c>
      <c r="C63" s="1">
        <v>150</v>
      </c>
      <c r="D63" s="1">
        <v>265.5</v>
      </c>
    </row>
    <row r="64" spans="2:4" x14ac:dyDescent="0.25">
      <c r="B64" s="4">
        <v>46114</v>
      </c>
      <c r="C64" s="1">
        <v>21.5</v>
      </c>
      <c r="D64" s="1"/>
    </row>
    <row r="65" spans="2:5" x14ac:dyDescent="0.25">
      <c r="B65" s="5">
        <v>46114</v>
      </c>
      <c r="C65" s="6">
        <v>1500</v>
      </c>
      <c r="D65" s="6">
        <v>1000</v>
      </c>
      <c r="E65" t="s">
        <v>8</v>
      </c>
    </row>
    <row r="66" spans="2:5" x14ac:dyDescent="0.25">
      <c r="B66" s="4">
        <v>46115</v>
      </c>
      <c r="C66" s="1">
        <v>150</v>
      </c>
      <c r="D66" s="1">
        <v>283.5</v>
      </c>
    </row>
    <row r="67" spans="2:5" x14ac:dyDescent="0.25">
      <c r="B67" s="4">
        <v>46115</v>
      </c>
      <c r="C67" s="1">
        <v>150</v>
      </c>
      <c r="D67" s="1"/>
    </row>
    <row r="68" spans="2:5" x14ac:dyDescent="0.25">
      <c r="B68" s="4">
        <v>46115</v>
      </c>
      <c r="C68" s="1">
        <v>131.5</v>
      </c>
      <c r="D68" s="1"/>
    </row>
    <row r="69" spans="2:5" x14ac:dyDescent="0.25">
      <c r="B69" s="4">
        <v>46116</v>
      </c>
      <c r="C69" s="1">
        <v>100</v>
      </c>
      <c r="D69" s="1"/>
    </row>
    <row r="70" spans="2:5" x14ac:dyDescent="0.25">
      <c r="B70" s="4">
        <v>46116</v>
      </c>
      <c r="C70" s="1">
        <v>100</v>
      </c>
      <c r="D70" s="1"/>
    </row>
    <row r="71" spans="2:5" x14ac:dyDescent="0.25">
      <c r="B71" s="4">
        <v>46116</v>
      </c>
      <c r="C71" s="1">
        <v>100</v>
      </c>
      <c r="D71" s="1">
        <v>193</v>
      </c>
    </row>
    <row r="72" spans="2:5" x14ac:dyDescent="0.25">
      <c r="B72" s="4">
        <v>46116</v>
      </c>
      <c r="C72" s="1">
        <v>100</v>
      </c>
      <c r="D72" s="1">
        <v>170</v>
      </c>
    </row>
    <row r="73" spans="2:5" x14ac:dyDescent="0.25">
      <c r="B73" s="4">
        <v>46116</v>
      </c>
      <c r="C73" s="1">
        <v>93</v>
      </c>
      <c r="D73" s="1"/>
    </row>
    <row r="74" spans="2:5" x14ac:dyDescent="0.25">
      <c r="B74" s="4">
        <v>46117</v>
      </c>
      <c r="C74" s="1">
        <v>273</v>
      </c>
      <c r="D74" s="1"/>
    </row>
    <row r="75" spans="2:5" x14ac:dyDescent="0.25">
      <c r="B75" s="4">
        <v>46117</v>
      </c>
      <c r="C75" s="1">
        <v>100</v>
      </c>
      <c r="D75" s="1"/>
    </row>
    <row r="76" spans="2:5" x14ac:dyDescent="0.25">
      <c r="B76" s="7">
        <v>46118</v>
      </c>
      <c r="C76" s="3">
        <v>50</v>
      </c>
    </row>
    <row r="77" spans="2:5" x14ac:dyDescent="0.25">
      <c r="B77" s="7">
        <v>46119</v>
      </c>
      <c r="C77" s="3">
        <v>50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317C-8CD8-47FE-BECA-BC2E6496A323}">
  <dimension ref="A1"/>
  <sheetViews>
    <sheetView workbookViewId="0">
      <selection activeCell="B33" sqref="B33"/>
    </sheetView>
  </sheetViews>
  <sheetFormatPr defaultRowHeight="15" x14ac:dyDescent="0.25"/>
  <cols>
    <col min="1" max="1" width="26.5703125" bestFit="1" customWidth="1"/>
    <col min="2" max="2" width="16.140625" bestFit="1" customWidth="1"/>
    <col min="3" max="3" width="11.7109375" bestFit="1" customWidth="1"/>
    <col min="4" max="4" width="15.140625" bestFit="1" customWidth="1"/>
    <col min="5" max="5" width="11.7109375" bestFit="1" customWidth="1"/>
    <col min="6" max="6" width="11.42578125" bestFit="1" customWidth="1"/>
    <col min="7" max="7" width="14.42578125" bestFit="1" customWidth="1"/>
    <col min="8" max="8" width="12.42578125" bestFit="1" customWidth="1"/>
    <col min="9" max="9" width="16.28515625" bestFit="1" customWidth="1"/>
    <col min="10" max="10" width="16.7109375" bestFit="1" customWidth="1"/>
    <col min="11" max="11" width="14.5703125" bestFit="1" customWidth="1"/>
    <col min="12" max="12" width="15" bestFit="1" customWidth="1"/>
    <col min="13" max="13" width="12.7109375" bestFit="1" customWidth="1"/>
    <col min="14" max="14" width="8.7109375" bestFit="1" customWidth="1"/>
    <col min="15" max="15" width="11.5703125" bestFit="1" customWidth="1"/>
    <col min="16" max="16" width="10.140625" bestFit="1" customWidth="1"/>
    <col min="17" max="17" width="14" bestFit="1" customWidth="1"/>
    <col min="18" max="18" width="13.7109375" bestFit="1" customWidth="1"/>
    <col min="19" max="19" width="15.42578125" bestFit="1" customWidth="1"/>
    <col min="20" max="20" width="19.85546875" bestFit="1" customWidth="1"/>
    <col min="21" max="21" width="17.7109375" bestFit="1" customWidth="1"/>
    <col min="22" max="22" width="13.5703125" bestFit="1" customWidth="1"/>
    <col min="23" max="23" width="11.28515625" bestFit="1" customWidth="1"/>
    <col min="24" max="24" width="17.7109375" bestFit="1" customWidth="1"/>
    <col min="25" max="25" width="15.140625" bestFit="1" customWidth="1"/>
    <col min="26" max="26" width="24.5703125" bestFit="1" customWidth="1"/>
    <col min="27" max="27" width="20.28515625" bestFit="1" customWidth="1"/>
    <col min="28" max="28" width="7.28515625" bestFit="1" customWidth="1"/>
    <col min="29" max="29" width="17.85546875" bestFit="1" customWidth="1"/>
    <col min="30" max="30" width="15.140625" bestFit="1" customWidth="1"/>
    <col min="31" max="31" width="22.42578125" bestFit="1" customWidth="1"/>
    <col min="32" max="32" width="25.85546875" bestFit="1" customWidth="1"/>
    <col min="33" max="33" width="22.7109375" bestFit="1" customWidth="1"/>
    <col min="34" max="34" width="19.140625" bestFit="1" customWidth="1"/>
    <col min="35" max="35" width="12.140625" bestFit="1" customWidth="1"/>
    <col min="36" max="36" width="17.85546875" bestFit="1" customWidth="1"/>
    <col min="37" max="37" width="8.5703125" bestFit="1" customWidth="1"/>
    <col min="38" max="38" width="10.28515625" bestFit="1" customWidth="1"/>
    <col min="39" max="39" width="19.7109375" bestFit="1" customWidth="1"/>
    <col min="40" max="40" width="19" bestFit="1" customWidth="1"/>
    <col min="41" max="41" width="9" bestFit="1" customWidth="1"/>
    <col min="42" max="42" width="14.85546875" bestFit="1" customWidth="1"/>
    <col min="43" max="43" width="12.85546875" bestFit="1" customWidth="1"/>
    <col min="44" max="44" width="6.85546875" bestFit="1" customWidth="1"/>
    <col min="45" max="45" width="18" bestFit="1" customWidth="1"/>
    <col min="46" max="46" width="18.5703125" bestFit="1" customWidth="1"/>
    <col min="47" max="47" width="18.140625" bestFit="1" customWidth="1"/>
    <col min="48" max="48" width="20.28515625" bestFit="1" customWidth="1"/>
    <col min="49" max="49" width="26.5703125" bestFit="1" customWidth="1"/>
    <col min="50" max="50" width="23.28515625" bestFit="1" customWidth="1"/>
    <col min="51" max="51" width="17.5703125" bestFit="1" customWidth="1"/>
    <col min="52" max="52" width="12.42578125" bestFit="1" customWidth="1"/>
    <col min="53" max="53" width="14" bestFit="1" customWidth="1"/>
    <col min="54" max="54" width="12.5703125" bestFit="1" customWidth="1"/>
    <col min="55" max="55" width="9.85546875" bestFit="1" customWidth="1"/>
    <col min="56" max="56" width="11.42578125" bestFit="1" customWidth="1"/>
    <col min="57" max="57" width="21.7109375" bestFit="1" customWidth="1"/>
    <col min="58" max="58" width="15.7109375" bestFit="1" customWidth="1"/>
    <col min="59" max="59" width="17.5703125" bestFit="1" customWidth="1"/>
    <col min="60" max="60" width="15.7109375" bestFit="1" customWidth="1"/>
    <col min="61" max="61" width="19.5703125" bestFit="1" customWidth="1"/>
    <col min="62" max="62" width="18.28515625" bestFit="1" customWidth="1"/>
    <col min="63" max="63" width="14.28515625" bestFit="1" customWidth="1"/>
    <col min="64" max="64" width="12.42578125" bestFit="1" customWidth="1"/>
    <col min="65" max="65" width="16.28515625" bestFit="1" customWidth="1"/>
    <col min="66" max="66" width="15.85546875" bestFit="1" customWidth="1"/>
    <col min="67" max="67" width="18.140625" bestFit="1" customWidth="1"/>
    <col min="68" max="68" width="24.28515625" bestFit="1" customWidth="1"/>
    <col min="69" max="69" width="21" bestFit="1" customWidth="1"/>
    <col min="70" max="70" width="10" bestFit="1" customWidth="1"/>
    <col min="72" max="72" width="8.42578125" bestFit="1" customWidth="1"/>
    <col min="73" max="73" width="13.5703125" bestFit="1" customWidth="1"/>
    <col min="74" max="74" width="11.71093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Chang</dc:creator>
  <cp:lastModifiedBy>Andrew Chang</cp:lastModifiedBy>
  <dcterms:created xsi:type="dcterms:W3CDTF">2026-03-29T01:55:33Z</dcterms:created>
  <dcterms:modified xsi:type="dcterms:W3CDTF">2026-04-07T11:38:37Z</dcterms:modified>
</cp:coreProperties>
</file>